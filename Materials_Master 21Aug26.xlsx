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ransaction table" sheetId="2" r:id="rId5"/>
  </sheets>
  <definedNames/>
  <calcPr/>
  <extLst>
    <ext uri="GoogleSheetsCustomDataVersion2">
      <go:sheetsCustomData xmlns:go="http://customooxmlschemas.google.com/" r:id="rId6" roundtripDataChecksum="OCOOAdrz3boz9q0hXDYU9PdWSs4MzxMkDUt2PZmTY/A="/>
    </ext>
  </extLst>
</workbook>
</file>

<file path=xl/sharedStrings.xml><?xml version="1.0" encoding="utf-8"?>
<sst xmlns="http://schemas.openxmlformats.org/spreadsheetml/2006/main" count="186" uniqueCount="117">
  <si>
    <t>Code</t>
  </si>
  <si>
    <t>Field</t>
  </si>
  <si>
    <t>Name</t>
  </si>
  <si>
    <t>Type</t>
  </si>
  <si>
    <t>UOM</t>
  </si>
  <si>
    <t>Primary UOM ID</t>
  </si>
  <si>
    <t>Secondary UOM ID</t>
  </si>
  <si>
    <t>Currency</t>
  </si>
  <si>
    <t>Category</t>
  </si>
  <si>
    <t>Chemical Group</t>
  </si>
  <si>
    <t>Group ID</t>
  </si>
  <si>
    <t>Appearance</t>
  </si>
  <si>
    <t>Color</t>
  </si>
  <si>
    <t>pH Value</t>
  </si>
  <si>
    <t>Data Type</t>
  </si>
  <si>
    <t>Flash Point</t>
  </si>
  <si>
    <t>HSN Code</t>
  </si>
  <si>
    <t>CAS Number</t>
  </si>
  <si>
    <t>Description</t>
  </si>
  <si>
    <t>Shelf Life</t>
  </si>
  <si>
    <t>Storage Condition</t>
  </si>
  <si>
    <t>TransactionID</t>
  </si>
  <si>
    <t>Hazardous</t>
  </si>
  <si>
    <t>BIGINT PK</t>
  </si>
  <si>
    <t>Default Warehouse</t>
  </si>
  <si>
    <t>Primary Key</t>
  </si>
  <si>
    <t>Opening Stock</t>
  </si>
  <si>
    <t>auto number</t>
  </si>
  <si>
    <t>TransactionDate</t>
  </si>
  <si>
    <t>DATETIME</t>
  </si>
  <si>
    <t>Posting Date</t>
  </si>
  <si>
    <t>posting date</t>
  </si>
  <si>
    <t>Opening Stock UOM</t>
  </si>
  <si>
    <t>TransactionType</t>
  </si>
  <si>
    <t>Current Stock</t>
  </si>
  <si>
    <t>VARCHAR(30)</t>
  </si>
  <si>
    <t>Reorder Level</t>
  </si>
  <si>
    <t>Receipt/Issue</t>
  </si>
  <si>
    <t>1 for Receipt / 2 for Issue</t>
  </si>
  <si>
    <t>Maximum Level</t>
  </si>
  <si>
    <t>Standard Cost</t>
  </si>
  <si>
    <t>ReferenceNo</t>
  </si>
  <si>
    <t>Document No</t>
  </si>
  <si>
    <t>Last Purchase Price</t>
  </si>
  <si>
    <t>Material Receipt no for transtype=Receipt / Material Issue-No for trans type=Issue</t>
  </si>
  <si>
    <t>Preferred Supplier ID</t>
  </si>
  <si>
    <t>WarehouseID</t>
  </si>
  <si>
    <t>Preferred Supplier</t>
  </si>
  <si>
    <t>BIGINT</t>
  </si>
  <si>
    <t>Lead Time</t>
  </si>
  <si>
    <t>Warehouse</t>
  </si>
  <si>
    <t>Login id</t>
  </si>
  <si>
    <t>Application</t>
  </si>
  <si>
    <t>Remarks</t>
  </si>
  <si>
    <t>ItemID</t>
  </si>
  <si>
    <t>Attachment Path</t>
  </si>
  <si>
    <t>Status</t>
  </si>
  <si>
    <t>Item</t>
  </si>
  <si>
    <t>Created By</t>
  </si>
  <si>
    <t>from material receipt if trans type=Receipt / from material issues if trans type=Issue</t>
  </si>
  <si>
    <t>Updated By</t>
  </si>
  <si>
    <t>Created At</t>
  </si>
  <si>
    <t>BatchNo</t>
  </si>
  <si>
    <t>Updated At</t>
  </si>
  <si>
    <t>Batch</t>
  </si>
  <si>
    <t>MAT-00191</t>
  </si>
  <si>
    <t>from Material issues</t>
  </si>
  <si>
    <t>Supronil LD5957</t>
  </si>
  <si>
    <t>ReceiptQty</t>
  </si>
  <si>
    <t>Finishing</t>
  </si>
  <si>
    <t>DECIMAL(18,3)</t>
  </si>
  <si>
    <t>Kg</t>
  </si>
  <si>
    <t>Receipt</t>
  </si>
  <si>
    <t/>
  </si>
  <si>
    <t>from Material Receipts</t>
  </si>
  <si>
    <t>INR</t>
  </si>
  <si>
    <t>Opening quantity</t>
  </si>
  <si>
    <t xml:space="preserve"> DECIMAL(18,3)</t>
  </si>
  <si>
    <t>Opening</t>
  </si>
  <si>
    <t>from material master only for first time. then after that dont fetch from there. then there after balance value becomes opening qty for same item</t>
  </si>
  <si>
    <t>0.00</t>
  </si>
  <si>
    <t>. see example</t>
  </si>
  <si>
    <t>0.25</t>
  </si>
  <si>
    <t>Receipt value</t>
  </si>
  <si>
    <t>DECIMAL(18,2)</t>
  </si>
  <si>
    <t>Transaction Value</t>
  </si>
  <si>
    <t>1467.00</t>
  </si>
  <si>
    <t>IssueQty</t>
  </si>
  <si>
    <t>Meghdoot</t>
  </si>
  <si>
    <t>Issue</t>
  </si>
  <si>
    <t>Issue Value</t>
  </si>
  <si>
    <t>BalanceQty</t>
  </si>
  <si>
    <t>Running Balance</t>
  </si>
  <si>
    <t>material master (opening stock) + Receiptqty - Issue qty</t>
  </si>
  <si>
    <t>AvgRate</t>
  </si>
  <si>
    <t>DECIMAL(18,6)</t>
  </si>
  <si>
    <t>Running Avg</t>
  </si>
  <si>
    <t>Active</t>
  </si>
  <si>
    <t>material master (opening value) + Receipt value / material masater (opening stock)+Receipt qty</t>
  </si>
  <si>
    <t>BalanceValue</t>
  </si>
  <si>
    <t>2026-08-10T06:08:06.000Z</t>
  </si>
  <si>
    <t>Running Value</t>
  </si>
  <si>
    <t>MAT-00190</t>
  </si>
  <si>
    <t>Avg rate X Balance qty</t>
  </si>
  <si>
    <t>Iride Orange LX</t>
  </si>
  <si>
    <t>example</t>
  </si>
  <si>
    <t>item a</t>
  </si>
  <si>
    <t>opening</t>
  </si>
  <si>
    <t>0.65</t>
  </si>
  <si>
    <t>receipt</t>
  </si>
  <si>
    <t>1071.00</t>
  </si>
  <si>
    <t>Color Shoppe</t>
  </si>
  <si>
    <t>issue</t>
  </si>
  <si>
    <t>balance</t>
  </si>
  <si>
    <t>create a new column called opening stock value ..its calculation is opening stock quantity * last purchase price</t>
  </si>
  <si>
    <t>change column last purchase price to average rate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</si>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</sst>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3" fontId="1" numFmtId="0" xfId="0" applyFill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89"/>
    <col customWidth="1" min="6" max="6" width="16.89"/>
    <col customWidth="1" min="7" max="17" width="15.89"/>
    <col customWidth="1" min="18" max="18" width="17.89"/>
    <col customWidth="1" min="19" max="19" width="15.89"/>
    <col customWidth="1" min="20" max="20" width="17.89"/>
    <col customWidth="1" min="21" max="21" width="15.89"/>
    <col customWidth="1" min="22" max="22" width="17.89"/>
    <col customWidth="1" min="23" max="26" width="15.89"/>
    <col customWidth="1" min="27" max="27" width="19.89"/>
    <col customWidth="1" min="28" max="28" width="21.89"/>
    <col customWidth="1" min="29" max="29" width="18.89"/>
    <col customWidth="1" min="30" max="39" width="15.89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  <c r="O1" s="1" t="s">
        <v>16</v>
      </c>
      <c r="P1" s="1" t="s">
        <v>17</v>
      </c>
      <c r="Q1" s="1" t="s">
        <v>19</v>
      </c>
      <c r="R1" s="1" t="s">
        <v>20</v>
      </c>
      <c r="S1" s="1" t="s">
        <v>22</v>
      </c>
      <c r="T1" s="1" t="s">
        <v>24</v>
      </c>
      <c r="U1" s="3" t="s">
        <v>26</v>
      </c>
      <c r="V1" s="1" t="s">
        <v>32</v>
      </c>
      <c r="W1" s="1" t="s">
        <v>34</v>
      </c>
      <c r="X1" s="1" t="s">
        <v>36</v>
      </c>
      <c r="Y1" s="1" t="s">
        <v>39</v>
      </c>
      <c r="Z1" s="1" t="s">
        <v>40</v>
      </c>
      <c r="AA1" s="3" t="s">
        <v>43</v>
      </c>
      <c r="AB1" s="1" t="s">
        <v>45</v>
      </c>
      <c r="AC1" s="1" t="s">
        <v>47</v>
      </c>
      <c r="AD1" s="1" t="s">
        <v>49</v>
      </c>
      <c r="AE1" s="1" t="s">
        <v>18</v>
      </c>
      <c r="AF1" s="1" t="s">
        <v>52</v>
      </c>
      <c r="AG1" s="1" t="s">
        <v>53</v>
      </c>
      <c r="AH1" s="1" t="s">
        <v>55</v>
      </c>
      <c r="AI1" s="1" t="s">
        <v>56</v>
      </c>
      <c r="AJ1" s="1" t="s">
        <v>58</v>
      </c>
      <c r="AK1" s="1" t="s">
        <v>60</v>
      </c>
      <c r="AL1" s="1" t="s">
        <v>61</v>
      </c>
      <c r="AM1" s="1" t="s">
        <v>63</v>
      </c>
    </row>
    <row r="2" ht="14.25" customHeight="1">
      <c r="A2" s="1" t="s">
        <v>65</v>
      </c>
      <c r="B2" s="1" t="s">
        <v>67</v>
      </c>
      <c r="C2" s="1" t="s">
        <v>69</v>
      </c>
      <c r="D2" s="1" t="s">
        <v>71</v>
      </c>
      <c r="E2" s="1" t="s">
        <v>73</v>
      </c>
      <c r="F2" s="1" t="s">
        <v>73</v>
      </c>
      <c r="G2" s="1" t="s">
        <v>75</v>
      </c>
      <c r="H2" s="1" t="s">
        <v>73</v>
      </c>
      <c r="I2" s="1" t="s">
        <v>73</v>
      </c>
      <c r="J2" s="1" t="s">
        <v>73</v>
      </c>
      <c r="K2" s="1" t="s">
        <v>73</v>
      </c>
      <c r="L2" s="1" t="s">
        <v>73</v>
      </c>
      <c r="M2" s="1" t="s">
        <v>73</v>
      </c>
      <c r="N2" s="1" t="s">
        <v>73</v>
      </c>
      <c r="O2" s="1" t="s">
        <v>73</v>
      </c>
      <c r="P2" s="1" t="s">
        <v>73</v>
      </c>
      <c r="Q2" s="1" t="s">
        <v>73</v>
      </c>
      <c r="R2" s="1" t="s">
        <v>73</v>
      </c>
      <c r="S2" s="1">
        <v>0.0</v>
      </c>
      <c r="T2" s="1" t="s">
        <v>73</v>
      </c>
      <c r="U2" s="1" t="s">
        <v>80</v>
      </c>
      <c r="V2" s="1" t="s">
        <v>73</v>
      </c>
      <c r="W2" s="1" t="s">
        <v>82</v>
      </c>
      <c r="X2" s="1" t="s">
        <v>80</v>
      </c>
      <c r="Y2" s="1" t="s">
        <v>80</v>
      </c>
      <c r="Z2" s="1" t="s">
        <v>80</v>
      </c>
      <c r="AA2" s="1" t="s">
        <v>86</v>
      </c>
      <c r="AB2" s="1">
        <v>9.0</v>
      </c>
      <c r="AC2" s="1" t="s">
        <v>88</v>
      </c>
      <c r="AD2" s="1" t="s">
        <v>73</v>
      </c>
      <c r="AE2" s="1" t="s">
        <v>73</v>
      </c>
      <c r="AF2" s="1" t="s">
        <v>73</v>
      </c>
      <c r="AG2" s="1" t="s">
        <v>73</v>
      </c>
      <c r="AH2" s="1" t="s">
        <v>73</v>
      </c>
      <c r="AI2" s="1" t="s">
        <v>97</v>
      </c>
      <c r="AJ2" s="1" t="s">
        <v>73</v>
      </c>
      <c r="AK2" s="1" t="s">
        <v>73</v>
      </c>
      <c r="AL2" s="1" t="s">
        <v>100</v>
      </c>
      <c r="AM2" s="1" t="s">
        <v>100</v>
      </c>
    </row>
    <row r="3" ht="14.25" customHeight="1">
      <c r="A3" s="1" t="s">
        <v>102</v>
      </c>
      <c r="B3" s="1" t="s">
        <v>104</v>
      </c>
      <c r="C3" s="1" t="s">
        <v>69</v>
      </c>
      <c r="D3" s="1" t="s">
        <v>71</v>
      </c>
      <c r="E3" s="1" t="s">
        <v>73</v>
      </c>
      <c r="F3" s="1" t="s">
        <v>73</v>
      </c>
      <c r="G3" s="1" t="s">
        <v>75</v>
      </c>
      <c r="H3" s="1" t="s">
        <v>73</v>
      </c>
      <c r="I3" s="1" t="s">
        <v>73</v>
      </c>
      <c r="J3" s="1" t="s">
        <v>73</v>
      </c>
      <c r="K3" s="1" t="s">
        <v>73</v>
      </c>
      <c r="L3" s="1" t="s">
        <v>73</v>
      </c>
      <c r="M3" s="1" t="s">
        <v>73</v>
      </c>
      <c r="N3" s="1" t="s">
        <v>73</v>
      </c>
      <c r="O3" s="1" t="s">
        <v>73</v>
      </c>
      <c r="P3" s="1" t="s">
        <v>73</v>
      </c>
      <c r="Q3" s="1" t="s">
        <v>73</v>
      </c>
      <c r="R3" s="1" t="s">
        <v>73</v>
      </c>
      <c r="S3" s="1">
        <v>0.0</v>
      </c>
      <c r="T3" s="1" t="s">
        <v>73</v>
      </c>
      <c r="U3" s="1" t="s">
        <v>80</v>
      </c>
      <c r="V3" s="1" t="s">
        <v>73</v>
      </c>
      <c r="W3" s="1" t="s">
        <v>108</v>
      </c>
      <c r="X3" s="1" t="s">
        <v>80</v>
      </c>
      <c r="Y3" s="1" t="s">
        <v>80</v>
      </c>
      <c r="Z3" s="1" t="s">
        <v>80</v>
      </c>
      <c r="AA3" s="1" t="s">
        <v>110</v>
      </c>
      <c r="AB3" s="1">
        <v>24.0</v>
      </c>
      <c r="AC3" s="1" t="s">
        <v>111</v>
      </c>
      <c r="AD3" s="1" t="s">
        <v>73</v>
      </c>
      <c r="AE3" s="1" t="s">
        <v>73</v>
      </c>
      <c r="AF3" s="1" t="s">
        <v>73</v>
      </c>
      <c r="AG3" s="1" t="s">
        <v>73</v>
      </c>
      <c r="AH3" s="1" t="s">
        <v>73</v>
      </c>
      <c r="AI3" s="1" t="s">
        <v>97</v>
      </c>
      <c r="AJ3" s="1" t="s">
        <v>73</v>
      </c>
      <c r="AK3" s="1" t="s">
        <v>73</v>
      </c>
      <c r="AL3" s="1" t="s">
        <v>100</v>
      </c>
      <c r="AM3" s="1" t="s">
        <v>100</v>
      </c>
    </row>
    <row r="4" ht="14.25" customHeight="1"/>
    <row r="5" ht="14.25" customHeight="1"/>
    <row r="6" ht="14.25" customHeight="1"/>
    <row r="7" ht="14.25" customHeight="1">
      <c r="Y7" s="4" t="s">
        <v>114</v>
      </c>
    </row>
    <row r="8" ht="14.25" customHeight="1">
      <c r="Y8" s="4" t="s">
        <v>115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>
      <c r="AL21" s="4" t="s">
        <v>116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78"/>
    <col customWidth="1" min="2" max="2" width="14.0"/>
    <col customWidth="1" min="3" max="3" width="17.44"/>
    <col customWidth="1" min="4" max="4" width="80.78"/>
    <col customWidth="1" min="5" max="26" width="8.56"/>
  </cols>
  <sheetData>
    <row r="1" ht="15.75" customHeight="1">
      <c r="A1" s="2" t="s">
        <v>1</v>
      </c>
      <c r="B1" s="2" t="s">
        <v>14</v>
      </c>
      <c r="C1" s="2" t="s">
        <v>18</v>
      </c>
    </row>
    <row r="2" ht="15.75" customHeight="1">
      <c r="A2" s="1" t="s">
        <v>21</v>
      </c>
      <c r="B2" s="1" t="s">
        <v>23</v>
      </c>
      <c r="C2" s="1" t="s">
        <v>25</v>
      </c>
      <c r="D2" s="1" t="s">
        <v>27</v>
      </c>
    </row>
    <row r="3" ht="15.75" customHeight="1">
      <c r="A3" s="1" t="s">
        <v>28</v>
      </c>
      <c r="B3" s="1" t="s">
        <v>29</v>
      </c>
      <c r="C3" s="1" t="s">
        <v>30</v>
      </c>
      <c r="D3" s="1" t="s">
        <v>31</v>
      </c>
    </row>
    <row r="4" ht="15.75" customHeight="1">
      <c r="A4" s="1" t="s">
        <v>33</v>
      </c>
      <c r="B4" s="1" t="s">
        <v>35</v>
      </c>
      <c r="C4" s="1" t="s">
        <v>37</v>
      </c>
      <c r="D4" s="1" t="s">
        <v>38</v>
      </c>
    </row>
    <row r="5" ht="15.75" customHeight="1">
      <c r="A5" s="1" t="s">
        <v>41</v>
      </c>
      <c r="B5" s="1" t="s">
        <v>35</v>
      </c>
      <c r="C5" s="1" t="s">
        <v>42</v>
      </c>
      <c r="D5" s="1" t="s">
        <v>44</v>
      </c>
    </row>
    <row r="6" ht="15.75" customHeight="1">
      <c r="A6" s="1" t="s">
        <v>46</v>
      </c>
      <c r="B6" s="1" t="s">
        <v>48</v>
      </c>
      <c r="C6" s="1" t="s">
        <v>50</v>
      </c>
      <c r="D6" s="1" t="s">
        <v>51</v>
      </c>
    </row>
    <row r="7" ht="15.75" customHeight="1">
      <c r="A7" s="1" t="s">
        <v>54</v>
      </c>
      <c r="B7" s="1" t="s">
        <v>48</v>
      </c>
      <c r="C7" s="1" t="s">
        <v>57</v>
      </c>
      <c r="D7" s="1" t="s">
        <v>59</v>
      </c>
    </row>
    <row r="8" ht="15.75" customHeight="1">
      <c r="A8" s="1" t="s">
        <v>62</v>
      </c>
      <c r="B8" s="1" t="s">
        <v>35</v>
      </c>
      <c r="C8" s="1" t="s">
        <v>64</v>
      </c>
      <c r="D8" s="1" t="s">
        <v>66</v>
      </c>
    </row>
    <row r="9" ht="15.75" customHeight="1">
      <c r="A9" s="1" t="s">
        <v>68</v>
      </c>
      <c r="B9" s="1" t="s">
        <v>70</v>
      </c>
      <c r="C9" s="1" t="s">
        <v>72</v>
      </c>
      <c r="D9" s="1" t="s">
        <v>74</v>
      </c>
    </row>
    <row r="10" ht="15.75" customHeight="1">
      <c r="A10" s="4" t="s">
        <v>76</v>
      </c>
      <c r="B10" s="4" t="s">
        <v>77</v>
      </c>
      <c r="C10" s="4" t="s">
        <v>78</v>
      </c>
      <c r="D10" s="4" t="s">
        <v>79</v>
      </c>
      <c r="G10" s="4" t="s">
        <v>81</v>
      </c>
    </row>
    <row r="11" ht="15.75" customHeight="1">
      <c r="A11" s="1" t="s">
        <v>83</v>
      </c>
      <c r="B11" s="1" t="s">
        <v>84</v>
      </c>
      <c r="C11" s="1" t="s">
        <v>85</v>
      </c>
      <c r="D11" s="1" t="s">
        <v>74</v>
      </c>
    </row>
    <row r="12" ht="15.75" customHeight="1">
      <c r="A12" s="1" t="s">
        <v>87</v>
      </c>
      <c r="B12" s="1" t="s">
        <v>70</v>
      </c>
      <c r="C12" s="1" t="s">
        <v>89</v>
      </c>
      <c r="D12" s="1" t="s">
        <v>66</v>
      </c>
    </row>
    <row r="13" ht="15.75" customHeight="1">
      <c r="A13" s="1" t="s">
        <v>90</v>
      </c>
      <c r="B13" s="1" t="s">
        <v>84</v>
      </c>
      <c r="C13" s="1" t="s">
        <v>85</v>
      </c>
      <c r="D13" s="4" t="s">
        <v>66</v>
      </c>
    </row>
    <row r="14" ht="15.75" customHeight="1">
      <c r="A14" s="1" t="s">
        <v>91</v>
      </c>
      <c r="B14" s="1" t="s">
        <v>70</v>
      </c>
      <c r="C14" s="1" t="s">
        <v>92</v>
      </c>
      <c r="D14" s="1" t="s">
        <v>93</v>
      </c>
    </row>
    <row r="15" ht="15.75" customHeight="1">
      <c r="A15" s="1" t="s">
        <v>94</v>
      </c>
      <c r="B15" s="1" t="s">
        <v>95</v>
      </c>
      <c r="C15" s="1" t="s">
        <v>96</v>
      </c>
      <c r="D15" s="1" t="s">
        <v>98</v>
      </c>
    </row>
    <row r="16" ht="15.75" customHeight="1">
      <c r="A16" s="1" t="s">
        <v>99</v>
      </c>
      <c r="B16" s="1" t="s">
        <v>84</v>
      </c>
      <c r="C16" s="1" t="s">
        <v>101</v>
      </c>
      <c r="D16" s="1" t="s">
        <v>103</v>
      </c>
    </row>
    <row r="17" ht="15.75" customHeight="1"/>
    <row r="18" ht="15.75" customHeight="1"/>
    <row r="19" ht="15.75" customHeight="1">
      <c r="C19" s="4" t="s">
        <v>105</v>
      </c>
    </row>
    <row r="20" ht="15.75" customHeight="1">
      <c r="C20" s="4" t="s">
        <v>106</v>
      </c>
    </row>
    <row r="21" ht="15.75" customHeight="1">
      <c r="C21" s="4" t="s">
        <v>107</v>
      </c>
      <c r="D21" s="4">
        <v>100.0</v>
      </c>
      <c r="E21" s="4">
        <v>150.0</v>
      </c>
      <c r="F21" s="4">
        <v>100.0</v>
      </c>
    </row>
    <row r="22" ht="15.75" customHeight="1">
      <c r="C22" s="4" t="s">
        <v>109</v>
      </c>
      <c r="D22" s="4">
        <v>100.0</v>
      </c>
      <c r="F22" s="4">
        <v>50.0</v>
      </c>
    </row>
    <row r="23" ht="15.75" customHeight="1">
      <c r="C23" s="4" t="s">
        <v>112</v>
      </c>
      <c r="D23" s="4">
        <v>50.0</v>
      </c>
      <c r="E23" s="4">
        <v>50.0</v>
      </c>
    </row>
    <row r="24" ht="15.75" customHeight="1">
      <c r="C24" s="4" t="s">
        <v>113</v>
      </c>
      <c r="D24" s="1">
        <f t="shared" ref="D24:F24" si="1">D21 +D22-D23</f>
        <v>150</v>
      </c>
      <c r="E24" s="1">
        <f t="shared" si="1"/>
        <v>100</v>
      </c>
      <c r="F24" s="1">
        <f t="shared" si="1"/>
        <v>150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